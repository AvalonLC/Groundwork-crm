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1" i="1" l="1"/>
</calcChain>
</file>

<file path=xl/sharedStrings.xml><?xml version="1.0" encoding="utf-8"?>
<sst xmlns="http://schemas.openxmlformats.org/spreadsheetml/2006/main" count="76" uniqueCount="71">
  <si>
    <t>Avalon Landscape Construction LLC</t>
  </si>
  <si>
    <t>Profit and Loss by Class</t>
  </si>
  <si>
    <t>January-June, 2026</t>
  </si>
  <si>
    <t>Income</t>
  </si>
  <si>
    <t>Services</t>
  </si>
  <si>
    <t>Total for Income</t>
  </si>
  <si>
    <t>Cost of Goods Sold</t>
  </si>
  <si>
    <t>Direct 1099 Labor</t>
  </si>
  <si>
    <t>Equipment Rental</t>
  </si>
  <si>
    <t>Materials Costs</t>
  </si>
  <si>
    <t>Other Costs of Services</t>
  </si>
  <si>
    <t>Ridgefield Earnout</t>
  </si>
  <si>
    <t>Subcontractor Costs</t>
  </si>
  <si>
    <t>Taxes</t>
  </si>
  <si>
    <t>Wages</t>
  </si>
  <si>
    <t>Waste Removal</t>
  </si>
  <si>
    <t>Total for Cost of Goods Sold</t>
  </si>
  <si>
    <t>Gross Profit</t>
  </si>
  <si>
    <t>Expenses</t>
  </si>
  <si>
    <t>Advertising &amp; Marketing</t>
  </si>
  <si>
    <t>Automobile Expense</t>
  </si>
  <si>
    <t>Fuel</t>
  </si>
  <si>
    <t>Repairs &amp; Maintenance</t>
  </si>
  <si>
    <t>Tag &amp; Title</t>
  </si>
  <si>
    <t>Total for Automobile Expense</t>
  </si>
  <si>
    <t>Bank Charges and Merchant Fees</t>
  </si>
  <si>
    <t>Bank Charges</t>
  </si>
  <si>
    <t>Stripe Fees</t>
  </si>
  <si>
    <t>Total for Bank Charges and Merchant Fees</t>
  </si>
  <si>
    <t>Business License &amp; Permits</t>
  </si>
  <si>
    <t>Dues &amp; Subscriptions</t>
  </si>
  <si>
    <t>Insurance</t>
  </si>
  <si>
    <t>Interest Expense</t>
  </si>
  <si>
    <t>Loan Origination Costs</t>
  </si>
  <si>
    <t>Meals &amp; Entertainment</t>
  </si>
  <si>
    <t>Office Supplies &amp; Software</t>
  </si>
  <si>
    <t>Parking &amp; Tolls</t>
  </si>
  <si>
    <t>Payroll - Indirect Labor</t>
  </si>
  <si>
    <t>General Workers</t>
  </si>
  <si>
    <t>Office Wages (Jen)</t>
  </si>
  <si>
    <t>Payroll Processing Fees</t>
  </si>
  <si>
    <t>Total for Payroll - Indirect Labor</t>
  </si>
  <si>
    <t>Professional Fees</t>
  </si>
  <si>
    <t>Accounting</t>
  </si>
  <si>
    <t>Consultants</t>
  </si>
  <si>
    <t>Legal Fees</t>
  </si>
  <si>
    <t>Total for Professional Fees</t>
  </si>
  <si>
    <t>Rent &amp; Lease</t>
  </si>
  <si>
    <t>Storage</t>
  </si>
  <si>
    <t>Total for Rent &amp; Lease</t>
  </si>
  <si>
    <t>Small Tools &amp; Equipment</t>
  </si>
  <si>
    <t>Supplies/Assets/Amazon</t>
  </si>
  <si>
    <t>Taxes &amp; Licenses</t>
  </si>
  <si>
    <t>Travel</t>
  </si>
  <si>
    <t>Utilities</t>
  </si>
  <si>
    <t>Yard Supply and Material Expenses</t>
  </si>
  <si>
    <t>Total for Expenses</t>
  </si>
  <si>
    <t>Net Operating Income</t>
  </si>
  <si>
    <t>Other Expenses</t>
  </si>
  <si>
    <t>Gain or Loss on Sale of Asset</t>
  </si>
  <si>
    <t>Penalties and Late Fees</t>
  </si>
  <si>
    <t>Total for Other Expenses</t>
  </si>
  <si>
    <t>Net Other Income</t>
  </si>
  <si>
    <t>Net Income</t>
  </si>
  <si>
    <t/>
  </si>
  <si>
    <t>G&amp;A</t>
  </si>
  <si>
    <t>Landscaping</t>
  </si>
  <si>
    <t>Maintenance</t>
  </si>
  <si>
    <t>Snow Removal</t>
  </si>
  <si>
    <t>Total</t>
  </si>
  <si>
    <t>Accrual Basis Wednesday, July 29, 2026 01:34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</si>
</sst>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7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3" fillId="0" borderId="0" xfId="0" applyNumberFormat="1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7" fontId="5" fillId="0" borderId="2" xfId="0" applyNumberFormat="1" applyFont="1" applyBorder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F75"/>
  <sheetViews>
    <sheetView tabSelected="1" workbookViewId="0" topLeftCell="A1"/>
  </sheetViews>
  <sheetFormatPr defaultColWidth="11.255" defaultRowHeight="16"/>
  <cols>
    <col min="1" max="1" width="35" style="37" customWidth="1"/>
    <col min="2" max="2" width="7.5" style="37" customWidth="1"/>
    <col min="3" max="3" width="17" style="37" customWidth="1"/>
    <col min="4" max="6" width="16.125" style="37" customWidth="1"/>
  </cols>
  <sheetData>
    <row r="1" spans="1:1" ht="16">
      <c r="A1" s="28" t="s">
        <v>0</v>
      </c>
    </row>
    <row r="2" spans="1:1" ht="16">
      <c r="A2" s="29" t="s">
        <v>1</v>
      </c>
    </row>
    <row r="3" spans="1:1" ht="16">
      <c r="A3" s="30" t="s">
        <v>2</v>
      </c>
    </row>
    <row r="5" spans="1:6" ht="16">
      <c r="A5" s="39" t="s">
        <v>64</v>
      </c>
      <c r="B5" s="44" t="s">
        <v>65</v>
      </c>
      <c r="C5" s="44" t="s">
        <v>66</v>
      </c>
      <c r="D5" s="44" t="s">
        <v>67</v>
      </c>
      <c r="E5" s="44" t="s">
        <v>68</v>
      </c>
      <c r="F5" s="44" t="s">
        <v>69</v>
      </c>
    </row>
    <row r="6" spans="1:5" ht="16">
      <c r="A6" s="32" t="s">
        <v>3</v>
      </c>
      <c r="B6" s="40"/>
      <c r="C6" s="40"/>
      <c r="D6" s="40"/>
      <c r="E6" s="40"/>
    </row>
    <row r="7" spans="1:6" ht="16">
      <c r="A7" s="33" t="s">
        <v>3</v>
      </c>
      <c r="B7" s="40"/>
      <c r="C7" s="40"/>
      <c r="D7" s="40"/>
      <c r="E7" s="40"/>
      <c r="F7" s="40"/>
    </row>
    <row r="8" spans="1:6" ht="16">
      <c r="A8" s="34" t="s">
        <v>4</v>
      </c>
      <c r="B8" s="40"/>
      <c r="C8" s="42">
        <v>160881.37</v>
      </c>
      <c r="D8" s="42">
        <v>263343.97</v>
      </c>
      <c r="E8" s="42">
        <v>190664.32</v>
      </c>
      <c r="F8" s="42">
        <f>B8+C8+D8+E8</f>
        <v>614889.6599999999</v>
      </c>
    </row>
    <row r="9" spans="1:6" ht="16">
      <c r="A9" s="35" t="s">
        <v>5</v>
      </c>
      <c r="B9" s="41">
        <f>B7+B8</f>
        <v>0.0</v>
      </c>
      <c r="C9" s="43">
        <f>C7+C8</f>
        <v>160881.37</v>
      </c>
      <c r="D9" s="43">
        <f>D7+D8</f>
        <v>263343.97</v>
      </c>
      <c r="E9" s="43">
        <f>E7+E8</f>
        <v>190664.32</v>
      </c>
      <c r="F9" s="41">
        <f>B9+C9+D9+E9</f>
        <v>614889.6599999999</v>
      </c>
    </row>
    <row r="10" spans="1:6" ht="16">
      <c r="A10" s="36" t="s">
        <v>5</v>
      </c>
      <c r="B10" s="41">
        <f>B6+B9</f>
        <v>0.0</v>
      </c>
      <c r="C10" s="43">
        <f>C6+C9</f>
        <v>160881.37</v>
      </c>
      <c r="D10" s="43">
        <f>D6+D9</f>
        <v>263343.97</v>
      </c>
      <c r="E10" s="43">
        <f>E6+E9</f>
        <v>190664.32</v>
      </c>
      <c r="F10" s="41">
        <f>B10+C10+D10+E10</f>
        <v>614889.6599999999</v>
      </c>
    </row>
    <row r="11" spans="1:5" ht="16">
      <c r="A11" s="32" t="s">
        <v>6</v>
      </c>
      <c r="B11" s="40"/>
      <c r="C11" s="40"/>
      <c r="D11" s="40"/>
      <c r="E11" s="40"/>
    </row>
    <row r="12" spans="1:6" ht="16">
      <c r="A12" s="33" t="s">
        <v>6</v>
      </c>
      <c r="B12" s="40"/>
      <c r="C12" s="40"/>
      <c r="D12" s="40"/>
      <c r="E12" s="40"/>
      <c r="F12" s="40"/>
    </row>
    <row r="13" spans="1:6" ht="16">
      <c r="A13" s="34" t="s">
        <v>7</v>
      </c>
      <c r="B13" s="40"/>
      <c r="C13" s="42">
        <v>2000.0</v>
      </c>
      <c r="D13" s="42">
        <v>36321.3</v>
      </c>
      <c r="E13" s="42">
        <v>5955.0</v>
      </c>
      <c r="F13" s="42">
        <f>B13+C13+D13+E13</f>
        <v>44276.3</v>
      </c>
    </row>
    <row r="14" spans="1:6" ht="16">
      <c r="A14" s="34" t="s">
        <v>8</v>
      </c>
      <c r="B14" s="40"/>
      <c r="C14" s="42">
        <v>3317.67</v>
      </c>
      <c r="D14" s="42">
        <v>1072.46</v>
      </c>
      <c r="E14" s="42">
        <v>4212.64</v>
      </c>
      <c r="F14" s="42">
        <f>B14+C14+D14+E14</f>
        <v>8602.77</v>
      </c>
    </row>
    <row r="15" spans="1:6" ht="16">
      <c r="A15" s="34" t="s">
        <v>9</v>
      </c>
      <c r="B15" s="40"/>
      <c r="C15" s="42">
        <v>33946.38</v>
      </c>
      <c r="D15" s="42">
        <v>40534.26</v>
      </c>
      <c r="E15" s="42">
        <v>21815.86</v>
      </c>
      <c r="F15" s="42">
        <f>B15+C15+D15+E15</f>
        <v>96296.5</v>
      </c>
    </row>
    <row r="16" spans="1:6" ht="16">
      <c r="A16" s="34" t="s">
        <v>10</v>
      </c>
      <c r="B16" s="40"/>
      <c r="C16" s="42">
        <v>684.09</v>
      </c>
      <c r="D16" s="40"/>
      <c r="E16" s="40"/>
      <c r="F16" s="42">
        <f>B16+C16+D16+E16</f>
        <v>684.09</v>
      </c>
    </row>
    <row r="17" spans="1:6" ht="16">
      <c r="A17" s="34" t="s">
        <v>11</v>
      </c>
      <c r="B17" s="40"/>
      <c r="C17" s="45">
        <v>0</v>
      </c>
      <c r="D17" s="45">
        <v>0</v>
      </c>
      <c r="E17" s="40"/>
      <c r="F17" s="45">
        <f>B17+C17+D17+E17</f>
        <v>0.0</v>
      </c>
    </row>
    <row r="18" spans="1:6" ht="16">
      <c r="A18" s="34" t="s">
        <v>12</v>
      </c>
      <c r="B18" s="40"/>
      <c r="C18" s="42">
        <v>8500.0</v>
      </c>
      <c r="D18" s="42">
        <v>11088.0</v>
      </c>
      <c r="E18" s="42">
        <v>26035.22</v>
      </c>
      <c r="F18" s="42">
        <f>B18+C18+D18+E18</f>
        <v>45623.22</v>
      </c>
    </row>
    <row r="19" spans="1:6" ht="16">
      <c r="A19" s="34" t="s">
        <v>13</v>
      </c>
      <c r="B19" s="40"/>
      <c r="C19" s="42">
        <v>5408.11</v>
      </c>
      <c r="D19" s="42">
        <v>5752.23</v>
      </c>
      <c r="E19" s="42">
        <v>782.27</v>
      </c>
      <c r="F19" s="42">
        <f>B19+C19+D19+E19</f>
        <v>11942.61</v>
      </c>
    </row>
    <row r="20" spans="1:6" ht="16">
      <c r="A20" s="34" t="s">
        <v>14</v>
      </c>
      <c r="B20" s="40"/>
      <c r="C20" s="42">
        <v>34712.31</v>
      </c>
      <c r="D20" s="42">
        <v>71865.49</v>
      </c>
      <c r="E20" s="42">
        <v>12364.25</v>
      </c>
      <c r="F20" s="42">
        <f>B20+C20+D20+E20</f>
        <v>118942.05</v>
      </c>
    </row>
    <row r="21" spans="1:6" ht="16">
      <c r="A21" s="34" t="s">
        <v>15</v>
      </c>
      <c r="B21" s="40"/>
      <c r="C21" s="42">
        <v>1943.15</v>
      </c>
      <c r="D21" s="40"/>
      <c r="E21" s="40"/>
      <c r="F21" s="42">
        <f>B21+C21+D21+E21</f>
        <v>1943.15</v>
      </c>
    </row>
    <row r="22" spans="1:6" ht="16">
      <c r="A22" s="35" t="s">
        <v>16</v>
      </c>
      <c r="B22" s="41">
        <f>B12+B13+B14+B15+B16+B17+B18+B19+B20+B21</f>
        <v>0.0</v>
      </c>
      <c r="C22" s="43">
        <f>C12+C13+C14+C15+C16+C17+C18+C19+C20+C21</f>
        <v>90511.70999999999</v>
      </c>
      <c r="D22" s="43">
        <f>D12+D13+D14+D15+D16+D17+D18+D19+D20+D21</f>
        <v>166633.74</v>
      </c>
      <c r="E22" s="43">
        <f>E12+E13+E14+E15+E16+E17+E18+E19+E20+E21</f>
        <v>71165.23999999999</v>
      </c>
      <c r="F22" s="41">
        <f>B22+C22+D22+E22</f>
        <v>328310.68999999994</v>
      </c>
    </row>
    <row r="23" spans="1:6" ht="16">
      <c r="A23" s="36" t="s">
        <v>16</v>
      </c>
      <c r="B23" s="41">
        <f>B11+B22</f>
        <v>0.0</v>
      </c>
      <c r="C23" s="43">
        <f>C11+C22</f>
        <v>90511.70999999999</v>
      </c>
      <c r="D23" s="43">
        <f>D11+D22</f>
        <v>166633.74</v>
      </c>
      <c r="E23" s="43">
        <f>E11+E22</f>
        <v>71165.23999999999</v>
      </c>
      <c r="F23" s="41">
        <f>B23+C23+D23+E23</f>
        <v>328310.68999999994</v>
      </c>
    </row>
    <row r="24" spans="1:6" ht="16">
      <c r="A24" s="36" t="s">
        <v>17</v>
      </c>
      <c r="B24" s="41">
        <f>B10-B23</f>
        <v>0.0</v>
      </c>
      <c r="C24" s="43">
        <f>C10-C23</f>
        <v>70369.66</v>
      </c>
      <c r="D24" s="43">
        <f>D10-D23</f>
        <v>96710.22999999998</v>
      </c>
      <c r="E24" s="43">
        <f>E10-E23</f>
        <v>119499.08000000002</v>
      </c>
      <c r="F24" s="41">
        <f>B24+C24+D24+E24</f>
        <v>286578.97</v>
      </c>
    </row>
    <row r="25" spans="1:5" ht="16">
      <c r="A25" s="32" t="s">
        <v>18</v>
      </c>
      <c r="B25" s="40"/>
      <c r="C25" s="40"/>
      <c r="D25" s="40"/>
      <c r="E25" s="40"/>
    </row>
    <row r="26" spans="1:6" ht="16">
      <c r="A26" s="33" t="s">
        <v>19</v>
      </c>
      <c r="B26" s="40"/>
      <c r="C26" s="42">
        <v>790.79</v>
      </c>
      <c r="D26" s="42">
        <v>790.83</v>
      </c>
      <c r="E26" s="40"/>
      <c r="F26" s="42">
        <f>B26+C26+D26+E26</f>
        <v>1581.62</v>
      </c>
    </row>
    <row r="27" spans="1:6" ht="16">
      <c r="A27" s="33" t="s">
        <v>20</v>
      </c>
      <c r="B27" s="40"/>
      <c r="C27" s="40"/>
      <c r="D27" s="40"/>
      <c r="E27" s="40"/>
      <c r="F27" s="40"/>
    </row>
    <row r="28" spans="1:6" ht="16">
      <c r="A28" s="34" t="s">
        <v>21</v>
      </c>
      <c r="B28" s="40"/>
      <c r="C28" s="42">
        <v>8625.73</v>
      </c>
      <c r="D28" s="42">
        <v>10351.88</v>
      </c>
      <c r="E28" s="42">
        <v>1604.1</v>
      </c>
      <c r="F28" s="42">
        <f>B28+C28+D28+E28</f>
        <v>20581.71</v>
      </c>
    </row>
    <row r="29" spans="1:6" ht="16">
      <c r="A29" s="34" t="s">
        <v>22</v>
      </c>
      <c r="B29" s="40"/>
      <c r="C29" s="42">
        <v>3485.04</v>
      </c>
      <c r="D29" s="42">
        <v>4157.34</v>
      </c>
      <c r="E29" s="42">
        <v>7949.54</v>
      </c>
      <c r="F29" s="42">
        <f>B29+C29+D29+E29</f>
        <v>15591.92</v>
      </c>
    </row>
    <row r="30" spans="1:6" ht="16">
      <c r="A30" s="34" t="s">
        <v>23</v>
      </c>
      <c r="B30" s="40"/>
      <c r="C30" s="42">
        <v>919.28</v>
      </c>
      <c r="D30" s="42">
        <v>919.28</v>
      </c>
      <c r="E30" s="40"/>
      <c r="F30" s="42">
        <f>B30+C30+D30+E30</f>
        <v>1838.56</v>
      </c>
    </row>
    <row r="31" spans="1:6" ht="16">
      <c r="A31" s="35" t="s">
        <v>24</v>
      </c>
      <c r="B31" s="41">
        <f>B27+B28+B29+B30</f>
        <v>0.0</v>
      </c>
      <c r="C31" s="43">
        <f>C27+C28+C29+C30</f>
        <v>13030.050000000001</v>
      </c>
      <c r="D31" s="43">
        <f>D27+D28+D29+D30</f>
        <v>15428.5</v>
      </c>
      <c r="E31" s="43">
        <f>E27+E28+E29+E30</f>
        <v>9553.64</v>
      </c>
      <c r="F31" s="41">
        <f>B31+C31+D31+E31</f>
        <v>38012.19</v>
      </c>
    </row>
    <row r="32" spans="1:6" ht="16">
      <c r="A32" s="33" t="s">
        <v>25</v>
      </c>
      <c r="B32" s="40"/>
      <c r="C32" s="40"/>
      <c r="D32" s="40"/>
      <c r="E32" s="40"/>
      <c r="F32" s="40"/>
    </row>
    <row r="33" spans="1:6" ht="16">
      <c r="A33" s="34" t="s">
        <v>26</v>
      </c>
      <c r="B33" s="40"/>
      <c r="C33" s="42">
        <v>593.71</v>
      </c>
      <c r="D33" s="42">
        <v>809.24</v>
      </c>
      <c r="E33" s="40"/>
      <c r="F33" s="42">
        <f>B33+C33+D33+E33</f>
        <v>1402.95</v>
      </c>
    </row>
    <row r="34" spans="1:6" ht="16">
      <c r="A34" s="34" t="s">
        <v>27</v>
      </c>
      <c r="B34" s="40"/>
      <c r="C34" s="42">
        <v>1497.38</v>
      </c>
      <c r="D34" s="42">
        <v>3342.18</v>
      </c>
      <c r="E34" s="42">
        <v>170.68</v>
      </c>
      <c r="F34" s="42">
        <f>B34+C34+D34+E34</f>
        <v>5010.24</v>
      </c>
    </row>
    <row r="35" spans="1:6" ht="16">
      <c r="A35" s="35" t="s">
        <v>28</v>
      </c>
      <c r="B35" s="41">
        <f>B32+B33+B34</f>
        <v>0.0</v>
      </c>
      <c r="C35" s="43">
        <f>C32+C33+C34</f>
        <v>2091.09</v>
      </c>
      <c r="D35" s="43">
        <f>D32+D33+D34</f>
        <v>4151.42</v>
      </c>
      <c r="E35" s="43">
        <f>E32+E33+E34</f>
        <v>170.68</v>
      </c>
      <c r="F35" s="41">
        <f>B35+C35+D35+E35</f>
        <v>6413.1900000000005</v>
      </c>
    </row>
    <row r="36" spans="1:6" ht="16">
      <c r="A36" s="33" t="s">
        <v>29</v>
      </c>
      <c r="B36" s="40"/>
      <c r="C36" s="42">
        <v>2494.78</v>
      </c>
      <c r="D36" s="42">
        <v>2494.79</v>
      </c>
      <c r="E36" s="40"/>
      <c r="F36" s="42">
        <f>B36+C36+D36+E36</f>
        <v>4989.57</v>
      </c>
    </row>
    <row r="37" spans="1:6" ht="16">
      <c r="A37" s="33" t="s">
        <v>30</v>
      </c>
      <c r="B37" s="40"/>
      <c r="C37" s="42">
        <v>71.05</v>
      </c>
      <c r="D37" s="42">
        <v>220.05</v>
      </c>
      <c r="E37" s="40"/>
      <c r="F37" s="42">
        <f>B37+C37+D37+E37</f>
        <v>291.1</v>
      </c>
    </row>
    <row r="38" spans="1:6" ht="16">
      <c r="A38" s="33" t="s">
        <v>31</v>
      </c>
      <c r="B38" s="40"/>
      <c r="C38" s="42">
        <v>11412.62</v>
      </c>
      <c r="D38" s="42">
        <v>11412.66</v>
      </c>
      <c r="E38" s="42">
        <v>3576.1</v>
      </c>
      <c r="F38" s="42">
        <f>B38+C38+D38+E38</f>
        <v>26401.379999999997</v>
      </c>
    </row>
    <row r="39" spans="1:6" ht="16">
      <c r="A39" s="33" t="s">
        <v>32</v>
      </c>
      <c r="B39" s="40"/>
      <c r="C39" s="42">
        <v>5838.25</v>
      </c>
      <c r="D39" s="42">
        <v>5838.31</v>
      </c>
      <c r="E39" s="40"/>
      <c r="F39" s="42">
        <f>B39+C39+D39+E39</f>
        <v>11676.560000000001</v>
      </c>
    </row>
    <row r="40" spans="1:6" ht="16">
      <c r="A40" s="33" t="s">
        <v>33</v>
      </c>
      <c r="B40" s="42">
        <v>150.0</v>
      </c>
      <c r="C40" s="40"/>
      <c r="D40" s="40"/>
      <c r="E40" s="40"/>
      <c r="F40" s="42">
        <f>B40+C40+D40+E40</f>
        <v>150.0</v>
      </c>
    </row>
    <row r="41" spans="1:6" ht="16">
      <c r="A41" s="33" t="s">
        <v>34</v>
      </c>
      <c r="B41" s="40"/>
      <c r="C41" s="42">
        <v>1201.12</v>
      </c>
      <c r="D41" s="42">
        <v>1232.05</v>
      </c>
      <c r="E41" s="42">
        <v>617.22</v>
      </c>
      <c r="F41" s="42">
        <f>B41+C41+D41+E41</f>
        <v>3050.3900000000003</v>
      </c>
    </row>
    <row r="42" spans="1:6" ht="16">
      <c r="A42" s="33" t="s">
        <v>35</v>
      </c>
      <c r="B42" s="40"/>
      <c r="C42" s="42">
        <v>6548.65</v>
      </c>
      <c r="D42" s="42">
        <v>6548.81</v>
      </c>
      <c r="E42" s="40"/>
      <c r="F42" s="42">
        <f>B42+C42+D42+E42</f>
        <v>13097.46</v>
      </c>
    </row>
    <row r="43" spans="1:6" ht="16">
      <c r="A43" s="33" t="s">
        <v>36</v>
      </c>
      <c r="B43" s="40"/>
      <c r="C43" s="42">
        <v>2414.18</v>
      </c>
      <c r="D43" s="42">
        <v>2428.72</v>
      </c>
      <c r="E43" s="40"/>
      <c r="F43" s="42">
        <f>B43+C43+D43+E43</f>
        <v>4842.9</v>
      </c>
    </row>
    <row r="44" spans="1:6" ht="16">
      <c r="A44" s="33" t="s">
        <v>37</v>
      </c>
      <c r="B44" s="40"/>
      <c r="C44" s="40"/>
      <c r="D44" s="40"/>
      <c r="E44" s="40"/>
      <c r="F44" s="40"/>
    </row>
    <row r="45" spans="1:6" ht="16">
      <c r="A45" s="34" t="s">
        <v>38</v>
      </c>
      <c r="B45" s="42">
        <v>960.0</v>
      </c>
      <c r="C45" s="42">
        <v>2647.5</v>
      </c>
      <c r="D45" s="42">
        <v>8656.0</v>
      </c>
      <c r="E45" s="42">
        <v>4078.5</v>
      </c>
      <c r="F45" s="42">
        <f>B45+C45+D45+E45</f>
        <v>16342.0</v>
      </c>
    </row>
    <row r="46" spans="1:6" ht="16">
      <c r="A46" s="34" t="s">
        <v>39</v>
      </c>
      <c r="B46" s="40"/>
      <c r="C46" s="42">
        <v>7673.54</v>
      </c>
      <c r="D46" s="42">
        <v>8093.55</v>
      </c>
      <c r="E46" s="40"/>
      <c r="F46" s="42">
        <f>B46+C46+D46+E46</f>
        <v>15767.09</v>
      </c>
    </row>
    <row r="47" spans="1:6" ht="16">
      <c r="A47" s="34" t="s">
        <v>40</v>
      </c>
      <c r="B47" s="40"/>
      <c r="C47" s="42">
        <v>89.77</v>
      </c>
      <c r="D47" s="42">
        <v>194.17</v>
      </c>
      <c r="E47" s="42">
        <v>256.27</v>
      </c>
      <c r="F47" s="42">
        <f>B47+C47+D47+E47</f>
        <v>540.21</v>
      </c>
    </row>
    <row r="48" spans="1:6" ht="16">
      <c r="A48" s="35" t="s">
        <v>41</v>
      </c>
      <c r="B48" s="43">
        <f>B44+B45+B46+B47</f>
        <v>960.0</v>
      </c>
      <c r="C48" s="43">
        <f>C44+C45+C46+C47</f>
        <v>10410.810000000001</v>
      </c>
      <c r="D48" s="43">
        <f>D44+D45+D46+D47</f>
        <v>16943.719999999998</v>
      </c>
      <c r="E48" s="43">
        <f>E44+E45+E46+E47</f>
        <v>4334.77</v>
      </c>
      <c r="F48" s="41">
        <f>B48+C48+D48+E48</f>
        <v>32649.3</v>
      </c>
    </row>
    <row r="49" spans="1:6" ht="16">
      <c r="A49" s="33" t="s">
        <v>42</v>
      </c>
      <c r="B49" s="40"/>
      <c r="C49" s="40"/>
      <c r="D49" s="40"/>
      <c r="E49" s="40"/>
      <c r="F49" s="40"/>
    </row>
    <row r="50" spans="1:6" ht="16">
      <c r="A50" s="34" t="s">
        <v>43</v>
      </c>
      <c r="B50" s="40"/>
      <c r="C50" s="42">
        <v>3719.0</v>
      </c>
      <c r="D50" s="42">
        <v>3719.0</v>
      </c>
      <c r="E50" s="40"/>
      <c r="F50" s="42">
        <f>B50+C50+D50+E50</f>
        <v>7438.0</v>
      </c>
    </row>
    <row r="51" spans="1:6" ht="16">
      <c r="A51" s="34" t="s">
        <v>44</v>
      </c>
      <c r="B51" s="40"/>
      <c r="C51" s="42">
        <v>5116.88</v>
      </c>
      <c r="D51" s="42">
        <v>5116.87</v>
      </c>
      <c r="E51" s="40"/>
      <c r="F51" s="42">
        <f>B51+C51+D51+E51</f>
        <v>10233.75</v>
      </c>
    </row>
    <row r="52" spans="1:6" ht="16">
      <c r="A52" s="34" t="s">
        <v>45</v>
      </c>
      <c r="B52" s="40"/>
      <c r="C52" s="42">
        <v>750.0</v>
      </c>
      <c r="D52" s="42">
        <v>750.0</v>
      </c>
      <c r="E52" s="40"/>
      <c r="F52" s="42">
        <f>B52+C52+D52+E52</f>
        <v>1500.0</v>
      </c>
    </row>
    <row r="53" spans="1:6" ht="16">
      <c r="A53" s="35" t="s">
        <v>46</v>
      </c>
      <c r="B53" s="41">
        <f>B49+B50+B51+B52</f>
        <v>0.0</v>
      </c>
      <c r="C53" s="43">
        <f>C49+C50+C51+C52</f>
        <v>9585.880000000001</v>
      </c>
      <c r="D53" s="43">
        <f>D49+D50+D51+D52</f>
        <v>9585.869999999999</v>
      </c>
      <c r="E53" s="41">
        <f>E49+E50+E51+E52</f>
        <v>0.0</v>
      </c>
      <c r="F53" s="41">
        <f>B53+C53+D53+E53</f>
        <v>19171.75</v>
      </c>
    </row>
    <row r="54" spans="1:6" ht="16">
      <c r="A54" s="33" t="s">
        <v>47</v>
      </c>
      <c r="B54" s="40"/>
      <c r="C54" s="42">
        <v>9300.0</v>
      </c>
      <c r="D54" s="42">
        <v>9300.0</v>
      </c>
      <c r="E54" s="40"/>
      <c r="F54" s="42">
        <f>B54+C54+D54+E54</f>
        <v>18600.0</v>
      </c>
    </row>
    <row r="55" spans="1:6" ht="16">
      <c r="A55" s="34" t="s">
        <v>48</v>
      </c>
      <c r="B55" s="40"/>
      <c r="C55" s="42">
        <v>123.66</v>
      </c>
      <c r="D55" s="42">
        <v>123.66</v>
      </c>
      <c r="E55" s="40"/>
      <c r="F55" s="42">
        <f>B55+C55+D55+E55</f>
        <v>247.32</v>
      </c>
    </row>
    <row r="56" spans="1:6" ht="16">
      <c r="A56" s="35" t="s">
        <v>49</v>
      </c>
      <c r="B56" s="41">
        <f>B54+B55</f>
        <v>0.0</v>
      </c>
      <c r="C56" s="43">
        <f>C54+C55</f>
        <v>9423.66</v>
      </c>
      <c r="D56" s="43">
        <f>D54+D55</f>
        <v>9423.66</v>
      </c>
      <c r="E56" s="41">
        <f>E54+E55</f>
        <v>0.0</v>
      </c>
      <c r="F56" s="41">
        <f>B56+C56+D56+E56</f>
        <v>18847.32</v>
      </c>
    </row>
    <row r="57" spans="1:6" ht="16">
      <c r="A57" s="33" t="s">
        <v>22</v>
      </c>
      <c r="B57" s="40"/>
      <c r="C57" s="42">
        <v>1174.95</v>
      </c>
      <c r="D57" s="42">
        <v>15793.13</v>
      </c>
      <c r="E57" s="42">
        <v>9208.39</v>
      </c>
      <c r="F57" s="42">
        <f>B57+C57+D57+E57</f>
        <v>26176.469999999998</v>
      </c>
    </row>
    <row r="58" spans="1:6" ht="16">
      <c r="A58" s="33" t="s">
        <v>50</v>
      </c>
      <c r="B58" s="40"/>
      <c r="C58" s="42">
        <v>263.07</v>
      </c>
      <c r="D58" s="42">
        <v>9001.83</v>
      </c>
      <c r="E58" s="42">
        <v>2509.78</v>
      </c>
      <c r="F58" s="42">
        <f>B58+C58+D58+E58</f>
        <v>11774.68</v>
      </c>
    </row>
    <row r="59" spans="1:6" ht="16">
      <c r="A59" s="33" t="s">
        <v>51</v>
      </c>
      <c r="B59" s="40"/>
      <c r="C59" s="42">
        <v>699.09</v>
      </c>
      <c r="D59" s="42">
        <v>2304.01</v>
      </c>
      <c r="E59" s="42">
        <v>483.83</v>
      </c>
      <c r="F59" s="42">
        <f>B59+C59+D59+E59</f>
        <v>3486.9300000000003</v>
      </c>
    </row>
    <row r="60" spans="1:6" ht="16">
      <c r="A60" s="33" t="s">
        <v>52</v>
      </c>
      <c r="B60" s="40"/>
      <c r="C60" s="42">
        <v>65.0</v>
      </c>
      <c r="D60" s="42">
        <v>65.0</v>
      </c>
      <c r="E60" s="40"/>
      <c r="F60" s="42">
        <f>B60+C60+D60+E60</f>
        <v>130.0</v>
      </c>
    </row>
    <row r="61" spans="1:6" ht="16">
      <c r="A61" s="33" t="s">
        <v>53</v>
      </c>
      <c r="B61" s="40"/>
      <c r="C61" s="42">
        <v>50.0</v>
      </c>
      <c r="D61" s="42">
        <v>50.0</v>
      </c>
      <c r="E61" s="42">
        <v>160.14</v>
      </c>
      <c r="F61" s="42">
        <f>B61+C61+D61+E61</f>
        <v>260.14</v>
      </c>
    </row>
    <row r="62" spans="1:6" ht="16">
      <c r="A62" s="33" t="s">
        <v>54</v>
      </c>
      <c r="B62" s="40"/>
      <c r="C62" s="42">
        <v>629.53</v>
      </c>
      <c r="D62" s="42">
        <v>629.53</v>
      </c>
      <c r="E62" s="40"/>
      <c r="F62" s="42">
        <f>B62+C62+D62+E62</f>
        <v>1259.06</v>
      </c>
    </row>
    <row r="63" spans="1:6" ht="16">
      <c r="A63" s="33" t="s">
        <v>55</v>
      </c>
      <c r="B63" s="40"/>
      <c r="C63" s="40"/>
      <c r="D63" s="42">
        <v>1726.8</v>
      </c>
      <c r="E63" s="40"/>
      <c r="F63" s="42">
        <f>B63+C63+D63+E63</f>
        <v>1726.8</v>
      </c>
    </row>
    <row r="64" spans="1:6" ht="16">
      <c r="A64" s="36" t="s">
        <v>56</v>
      </c>
      <c r="B64" s="43">
        <f>B25+B26+B31+B35+B36+B37+B38+B39+B40+B41+B42+B43+B48+B53+B56+B57+B58+B59+B60+B61+B62+B63</f>
        <v>1110.0</v>
      </c>
      <c r="C64" s="43">
        <f>C25+C26+C31+C35+C36+C37+C38+C39+C40+C41+C42+C43+C48+C53+C56+C57+C58+C59+C60+C61+C62+C63</f>
        <v>78194.57</v>
      </c>
      <c r="D64" s="43">
        <f>D25+D26+D31+D35+D36+D37+D38+D39+D40+D41+D42+D43+D48+D53+D56+D57+D58+D59+D60+D61+D62+D63</f>
        <v>116069.69</v>
      </c>
      <c r="E64" s="43">
        <f>E25+E26+E31+E35+E36+E37+E38+E39+E40+E41+E42+E43+E48+E53+E56+E57+E58+E59+E60+E61+E62+E63</f>
        <v>30614.55</v>
      </c>
      <c r="F64" s="41">
        <f>B64+C64+D64+E64</f>
        <v>225988.81</v>
      </c>
    </row>
    <row r="65" spans="1:6" ht="16">
      <c r="A65" s="36" t="s">
        <v>57</v>
      </c>
      <c r="B65" s="43">
        <f>B24-B64</f>
        <v>-1110.0</v>
      </c>
      <c r="C65" s="43">
        <f>C24-C64</f>
        <v>-7824.9100000000035</v>
      </c>
      <c r="D65" s="43">
        <f>D24-D64</f>
        <v>-19359.46000000002</v>
      </c>
      <c r="E65" s="43">
        <f>E24-E64</f>
        <v>88884.53000000001</v>
      </c>
      <c r="F65" s="41">
        <f>B65+C65+D65+E65</f>
        <v>60590.15999999999</v>
      </c>
    </row>
    <row r="66" spans="1:5" ht="16">
      <c r="A66" s="32" t="s">
        <v>58</v>
      </c>
      <c r="B66" s="40"/>
      <c r="C66" s="40"/>
      <c r="D66" s="40"/>
      <c r="E66" s="40"/>
    </row>
    <row r="67" spans="1:6" ht="16">
      <c r="A67" s="33" t="s">
        <v>59</v>
      </c>
      <c r="B67" s="42">
        <v>3258.35</v>
      </c>
      <c r="C67" s="40"/>
      <c r="D67" s="40"/>
      <c r="E67" s="40"/>
      <c r="F67" s="42">
        <f>B67+C67+D67+E67</f>
        <v>3258.35</v>
      </c>
    </row>
    <row r="68" spans="1:6" ht="16">
      <c r="A68" s="33" t="s">
        <v>60</v>
      </c>
      <c r="B68" s="40"/>
      <c r="C68" s="42">
        <v>100.75</v>
      </c>
      <c r="D68" s="42">
        <v>100.75</v>
      </c>
      <c r="E68" s="40"/>
      <c r="F68" s="42">
        <f>B68+C68+D68+E68</f>
        <v>201.5</v>
      </c>
    </row>
    <row r="69" spans="1:6" ht="16">
      <c r="A69" s="36" t="s">
        <v>61</v>
      </c>
      <c r="B69" s="43">
        <f>B66+B67+B68</f>
        <v>3258.35</v>
      </c>
      <c r="C69" s="43">
        <f>C66+C67+C68</f>
        <v>100.75</v>
      </c>
      <c r="D69" s="43">
        <f>D66+D67+D68</f>
        <v>100.75</v>
      </c>
      <c r="E69" s="41">
        <f>E66+E67+E68</f>
        <v>0.0</v>
      </c>
      <c r="F69" s="41">
        <f>B69+C69+D69+E69</f>
        <v>3459.85</v>
      </c>
    </row>
    <row r="70" spans="1:6" ht="16">
      <c r="A70" s="36" t="s">
        <v>62</v>
      </c>
      <c r="B70" s="43">
        <f>0-B69</f>
        <v>-3258.35</v>
      </c>
      <c r="C70" s="43">
        <f>0-C69</f>
        <v>-100.75</v>
      </c>
      <c r="D70" s="43">
        <f>0-D69</f>
        <v>-100.75</v>
      </c>
      <c r="E70" s="41">
        <f>0-E69</f>
        <v>0.0</v>
      </c>
      <c r="F70" s="41">
        <f>B70+C70+D70+E70</f>
        <v>-3459.85</v>
      </c>
    </row>
    <row r="71" spans="1:6" ht="16">
      <c r="A71" s="36" t="s">
        <v>63</v>
      </c>
      <c r="B71" s="43">
        <f>B65+B70</f>
        <v>-4368.35</v>
      </c>
      <c r="C71" s="43">
        <f>C65+C70</f>
        <v>-7925.6600000000035</v>
      </c>
      <c r="D71" s="43">
        <f>D65+D70</f>
        <v>-19460.21000000002</v>
      </c>
      <c r="E71" s="43">
        <f>E65+E70</f>
        <v>88884.53000000001</v>
      </c>
      <c r="F71" s="41">
        <f>B71+C71+D71+E71</f>
        <v>57130.30999999999</v>
      </c>
    </row>
    <row r="75" spans="1:1" ht="16">
      <c r="A75" s="46" t="s">
        <v>70</v>
      </c>
    </row>
  </sheetData>
  <mergeCells count="4">
    <mergeCell ref="A1:F1"/>
    <mergeCell ref="A2:F2"/>
    <mergeCell ref="A3:F3"/>
    <mergeCell ref="A75:F7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